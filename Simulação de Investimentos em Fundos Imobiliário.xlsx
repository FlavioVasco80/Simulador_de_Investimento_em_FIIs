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6c87fc5681b0aa/Documentos/"/>
    </mc:Choice>
  </mc:AlternateContent>
  <xr:revisionPtr revIDLastSave="839" documentId="8_{3E70D86F-588E-4363-830C-ED29126F4D21}" xr6:coauthVersionLast="47" xr6:coauthVersionMax="47" xr10:uidLastSave="{0A64FEAE-FF67-4FE9-9115-95D46CEB01B6}"/>
  <bookViews>
    <workbookView xWindow="-120" yWindow="-120" windowWidth="20730" windowHeight="11040" tabRatio="0" xr2:uid="{A78B326B-8A77-4344-81DB-BF9E4A821F03}"/>
  </bookViews>
  <sheets>
    <sheet name="Investment" sheetId="1" r:id="rId1"/>
    <sheet name="Planilha1" sheetId="2" r:id="rId2"/>
  </sheets>
  <definedNames>
    <definedName name="Aporte">Investment!$D$15</definedName>
    <definedName name="Dividendos">Investment!$D$19</definedName>
    <definedName name="Patrimônio">Investment!$D$18</definedName>
    <definedName name="Qtd_Anos">Investment!$D$16</definedName>
    <definedName name="Rendimento_Carteira">Investment!$D$11</definedName>
    <definedName name="Salario">Investment!$D$10</definedName>
    <definedName name="Sugestão_Investimento">Investment!$D$12</definedName>
    <definedName name="Taxa_Mensal">Investment!$D$17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H4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29" i="1"/>
  <c r="D18" i="1"/>
  <c r="D19" i="1"/>
  <c r="D12" i="1"/>
  <c r="C23" i="1"/>
  <c r="D23" i="1" s="1"/>
  <c r="C24" i="1"/>
  <c r="D24" i="1" s="1"/>
  <c r="C25" i="1"/>
  <c r="D25" i="1" s="1"/>
  <c r="C26" i="1"/>
  <c r="D26" i="1" s="1"/>
  <c r="C22" i="1"/>
  <c r="D22" i="1" s="1"/>
  <c r="D33" i="1" l="1"/>
  <c r="D34" i="1"/>
  <c r="D35" i="1"/>
  <c r="D36" i="1"/>
  <c r="D37" i="1"/>
  <c r="D32" i="1"/>
  <c r="D38" i="1" s="1"/>
</calcChain>
</file>

<file path=xl/sharedStrings.xml><?xml version="1.0" encoding="utf-8"?>
<sst xmlns="http://schemas.openxmlformats.org/spreadsheetml/2006/main" count="71" uniqueCount="35">
  <si>
    <t>Dividendos Mensais?</t>
  </si>
  <si>
    <t>Patrimônio Acumulado?</t>
  </si>
  <si>
    <t>Taxa de Rendimento Mensal?</t>
  </si>
  <si>
    <t>Por Quantos Anos?</t>
  </si>
  <si>
    <t>Quanto investir por mês?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</si>
  <si>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</si>
  <si>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</si>
  <si>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</si>
  <si>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</si>
  <si>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</si>
  <si>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</si>
  <si>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</si>
  <si>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</si>
  <si>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</si>
  <si>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</si>
  <si>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Sugestão de Investimento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</si>
  <si>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</si>
  <si>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</si>
  <si>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</si>
  <si>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</si>
  <si>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</si>
  <si>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</si>
  <si>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</si>
  <si>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</si>
  <si>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</si>
  <si>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</si>
  <si>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</si>
  <si>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DESENVOLVIMENTO</t>
  </si>
  <si>
    <t>FOFs</t>
  </si>
  <si>
    <t>HOTELARIAS</t>
  </si>
  <si>
    <t>HÍBRIDOS</t>
  </si>
  <si>
    <t>TIPOS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</si>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</sst>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6" borderId="0" applyNumberFormat="0" applyBorder="0" applyAlignment="0" applyProtection="0"/>
  </cellStyleXfs>
  <cellXfs count="64">
    <xf numFmtId="0" fontId="0" fillId="0" borderId="0" xfId="0"/>
    <xf numFmtId="0" fontId="3" fillId="4" borderId="2" xfId="0" applyFont="1" applyFill="1" applyBorder="1" applyAlignment="1">
      <alignment vertical="center"/>
    </xf>
    <xf numFmtId="0" fontId="0" fillId="3" borderId="0" xfId="0" applyFill="1"/>
    <xf numFmtId="0" fontId="0" fillId="7" borderId="0" xfId="0" applyFill="1"/>
    <xf numFmtId="0" fontId="9" fillId="7" borderId="0" xfId="0" applyFont="1" applyFill="1"/>
    <xf numFmtId="0" fontId="0" fillId="0" borderId="0" xfId="0" applyAlignment="1">
      <alignment horizontal="center"/>
    </xf>
    <xf numFmtId="8" fontId="0" fillId="2" borderId="5" xfId="0" applyNumberFormat="1" applyFill="1" applyBorder="1" applyAlignment="1">
      <alignment horizontal="center"/>
    </xf>
    <xf numFmtId="8" fontId="0" fillId="2" borderId="6" xfId="0" applyNumberFormat="1" applyFill="1" applyBorder="1" applyAlignment="1">
      <alignment horizontal="center"/>
    </xf>
    <xf numFmtId="8" fontId="0" fillId="2" borderId="8" xfId="0" applyNumberFormat="1" applyFill="1" applyBorder="1" applyAlignment="1">
      <alignment horizontal="center"/>
    </xf>
    <xf numFmtId="8" fontId="0" fillId="2" borderId="9" xfId="0" applyNumberFormat="1" applyFill="1" applyBorder="1" applyAlignment="1">
      <alignment horizontal="center"/>
    </xf>
    <xf numFmtId="8" fontId="0" fillId="2" borderId="11" xfId="0" applyNumberFormat="1" applyFill="1" applyBorder="1" applyAlignment="1">
      <alignment horizontal="center"/>
    </xf>
    <xf numFmtId="8" fontId="0" fillId="2" borderId="12" xfId="0" applyNumberFormat="1" applyFill="1" applyBorder="1" applyAlignment="1">
      <alignment horizontal="center"/>
    </xf>
    <xf numFmtId="8" fontId="2" fillId="2" borderId="9" xfId="0" applyNumberFormat="1" applyFont="1" applyFill="1" applyBorder="1"/>
    <xf numFmtId="8" fontId="2" fillId="2" borderId="12" xfId="0" applyNumberFormat="1" applyFont="1" applyFill="1" applyBorder="1"/>
    <xf numFmtId="0" fontId="7" fillId="2" borderId="4" xfId="0" applyFont="1" applyFill="1" applyBorder="1" applyAlignment="1">
      <alignment horizontal="left" indent="3"/>
    </xf>
    <xf numFmtId="0" fontId="7" fillId="2" borderId="7" xfId="0" applyFont="1" applyFill="1" applyBorder="1" applyAlignment="1">
      <alignment horizontal="left" indent="3"/>
    </xf>
    <xf numFmtId="0" fontId="7" fillId="2" borderId="10" xfId="0" applyFont="1" applyFill="1" applyBorder="1" applyAlignment="1">
      <alignment horizontal="left" indent="3"/>
    </xf>
    <xf numFmtId="0" fontId="5" fillId="6" borderId="0" xfId="2"/>
    <xf numFmtId="9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5" fillId="6" borderId="0" xfId="1" applyFont="1" applyFill="1"/>
    <xf numFmtId="0" fontId="5" fillId="6" borderId="2" xfId="2" applyBorder="1"/>
    <xf numFmtId="164" fontId="6" fillId="2" borderId="0" xfId="0" applyNumberFormat="1" applyFont="1" applyFill="1" applyAlignment="1">
      <alignment horizontal="center"/>
    </xf>
    <xf numFmtId="0" fontId="0" fillId="2" borderId="14" xfId="0" applyFill="1" applyBorder="1"/>
    <xf numFmtId="0" fontId="5" fillId="6" borderId="1" xfId="2" applyBorder="1" applyAlignment="1">
      <alignment horizontal="left" indent="1"/>
    </xf>
    <xf numFmtId="0" fontId="8" fillId="2" borderId="13" xfId="0" applyFont="1" applyFill="1" applyBorder="1" applyAlignment="1">
      <alignment horizontal="left" indent="1"/>
    </xf>
    <xf numFmtId="0" fontId="1" fillId="5" borderId="1" xfId="0" applyFont="1" applyFill="1" applyBorder="1" applyAlignment="1">
      <alignment horizontal="left" vertical="center" indent="1"/>
    </xf>
    <xf numFmtId="164" fontId="6" fillId="2" borderId="12" xfId="0" applyNumberFormat="1" applyFont="1" applyFill="1" applyBorder="1"/>
    <xf numFmtId="164" fontId="6" fillId="9" borderId="6" xfId="0" applyNumberFormat="1" applyFont="1" applyFill="1" applyBorder="1"/>
    <xf numFmtId="10" fontId="6" fillId="9" borderId="9" xfId="0" applyNumberFormat="1" applyFont="1" applyFill="1" applyBorder="1"/>
    <xf numFmtId="164" fontId="2" fillId="9" borderId="6" xfId="0" applyNumberFormat="1" applyFont="1" applyFill="1" applyBorder="1"/>
    <xf numFmtId="0" fontId="2" fillId="9" borderId="9" xfId="0" applyFont="1" applyFill="1" applyBorder="1"/>
    <xf numFmtId="10" fontId="2" fillId="9" borderId="9" xfId="0" applyNumberFormat="1" applyFont="1" applyFill="1" applyBorder="1"/>
    <xf numFmtId="0" fontId="10" fillId="6" borderId="3" xfId="2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164" fontId="0" fillId="2" borderId="9" xfId="0" applyNumberFormat="1" applyFill="1" applyBorder="1"/>
    <xf numFmtId="0" fontId="0" fillId="8" borderId="10" xfId="0" applyFill="1" applyBorder="1"/>
    <xf numFmtId="0" fontId="0" fillId="8" borderId="11" xfId="0" applyFill="1" applyBorder="1"/>
    <xf numFmtId="164" fontId="6" fillId="8" borderId="12" xfId="0" applyNumberFormat="1" applyFont="1" applyFill="1" applyBorder="1"/>
    <xf numFmtId="0" fontId="0" fillId="9" borderId="7" xfId="0" applyFill="1" applyBorder="1" applyAlignment="1">
      <alignment horizontal="center"/>
    </xf>
    <xf numFmtId="9" fontId="0" fillId="9" borderId="8" xfId="0" applyNumberFormat="1" applyFill="1" applyBorder="1" applyAlignment="1">
      <alignment horizontal="center"/>
    </xf>
    <xf numFmtId="0" fontId="0" fillId="7" borderId="16" xfId="0" applyFill="1" applyBorder="1"/>
    <xf numFmtId="0" fontId="1" fillId="4" borderId="1" xfId="0" applyFont="1" applyFill="1" applyBorder="1" applyAlignment="1">
      <alignment horizontal="left" vertical="center" indent="1"/>
    </xf>
    <xf numFmtId="0" fontId="1" fillId="4" borderId="3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1" fillId="4" borderId="2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left" indent="3"/>
    </xf>
    <xf numFmtId="0" fontId="7" fillId="2" borderId="5" xfId="0" applyFont="1" applyFill="1" applyBorder="1" applyAlignment="1">
      <alignment horizontal="left" indent="3"/>
    </xf>
    <xf numFmtId="0" fontId="7" fillId="2" borderId="7" xfId="0" applyFont="1" applyFill="1" applyBorder="1" applyAlignment="1">
      <alignment horizontal="left" indent="3"/>
    </xf>
    <xf numFmtId="0" fontId="7" fillId="2" borderId="8" xfId="0" applyFont="1" applyFill="1" applyBorder="1" applyAlignment="1">
      <alignment horizontal="left" indent="3"/>
    </xf>
    <xf numFmtId="0" fontId="8" fillId="2" borderId="7" xfId="0" applyFont="1" applyFill="1" applyBorder="1" applyAlignment="1">
      <alignment horizontal="left" indent="3"/>
    </xf>
    <xf numFmtId="0" fontId="8" fillId="2" borderId="8" xfId="0" applyFont="1" applyFill="1" applyBorder="1" applyAlignment="1">
      <alignment horizontal="left" indent="3"/>
    </xf>
    <xf numFmtId="0" fontId="8" fillId="2" borderId="10" xfId="0" applyFont="1" applyFill="1" applyBorder="1" applyAlignment="1">
      <alignment horizontal="left" indent="3"/>
    </xf>
    <xf numFmtId="0" fontId="8" fillId="2" borderId="11" xfId="0" applyFont="1" applyFill="1" applyBorder="1" applyAlignment="1">
      <alignment horizontal="left" indent="3"/>
    </xf>
    <xf numFmtId="0" fontId="7" fillId="2" borderId="10" xfId="0" applyFont="1" applyFill="1" applyBorder="1" applyAlignment="1">
      <alignment horizontal="left" indent="3"/>
    </xf>
    <xf numFmtId="0" fontId="7" fillId="2" borderId="11" xfId="0" applyFont="1" applyFill="1" applyBorder="1" applyAlignment="1">
      <alignment horizontal="left" indent="3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CC00FF"/>
      <color rgb="FF00CC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0-4BD3-A7E3-04ACD5538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0-4BD3-A7E3-04ACD55389CE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0-4BD3-A7E3-04ACD55389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FF-478E-950C-7C2756372804}"/>
              </c:ext>
            </c:extLst>
          </c:dPt>
          <c:dPt>
            <c:idx val="4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80-4BD3-A7E3-04ACD55389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FF-478E-950C-7C27563728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1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A80-4BD3-A7E3-04ACD55389CE}"/>
                </c:ext>
              </c:extLst>
            </c:dLbl>
            <c:dLbl>
              <c:idx val="1"/>
              <c:layout>
                <c:manualLayout>
                  <c:x val="0.13237901903238986"/>
                  <c:y val="-0.199798229372124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0-4BD3-A7E3-04ACD55389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Investment!$B$32:$B$37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Investment!$C$32:$C$37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BD3-A7E3-04ACD553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302893</xdr:colOff>
      <xdr:row>0</xdr:row>
      <xdr:rowOff>123824</xdr:rowOff>
    </xdr:from>
    <xdr:to>
      <xdr:col>4</xdr:col>
      <xdr:colOff>271480</xdr:colOff>
      <xdr:row>6</xdr:row>
      <xdr:rowOff>133065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DEDACCB3-0B93-85F7-A5DA-1C50FBF6B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877" b="63616"/>
        <a:stretch>
          <a:fillRect/>
        </a:stretch>
      </xdr:blipFill>
      <xdr:spPr>
        <a:xfrm>
          <a:off x="302893" y="123824"/>
          <a:ext cx="7540962" cy="1152241"/>
        </a:xfrm>
        <a:prstGeom prst="rect">
          <a:avLst/>
        </a:prstGeom>
      </xdr:spPr>
    </xdr:pic>
    <xdr:clientData/>
  </xdr:twoCellAnchor>
  <xdr:twoCellAnchor>
    <xdr:from>
      <xdr:col>1</xdr:col>
      <xdr:colOff>40089</xdr:colOff>
      <xdr:row>30</xdr:row>
      <xdr:rowOff>163434</xdr:rowOff>
    </xdr:from>
    <xdr:to>
      <xdr:col>1</xdr:col>
      <xdr:colOff>1555348</xdr:colOff>
      <xdr:row>37</xdr:row>
      <xdr:rowOff>144685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A63AD9-51DF-141B-8347-09A7B064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A1CA-52DA-4AA4-8FCC-1A7F7AD85866}">
  <dimension ref="A1:J71"/>
  <sheetViews>
    <sheetView showGridLines="0" showRowColHeaders="0" tabSelected="1" topLeftCell="A14" zoomScale="106" zoomScaleNormal="100" workbookViewId="0">
      <selection activeCell="C28" sqref="C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140625" style="3" customWidth="1"/>
    <col min="2" max="2" width="70.5703125" customWidth="1"/>
    <col min="3" max="3" width="18.85546875" bestFit="1" customWidth="1"/>
    <col min="4" max="4" width="15" bestFit="1" customWidth="1"/>
    <col min="5" max="5" width="9.140625" customWidth="1"/>
    <col min="6" max="6" width="2.85546875" hidden="1" customWidth="1"/>
    <col min="7" max="7" width="2.85546875" style="2" hidden="1" customWidth="1"/>
    <col min="8" max="8" width="9.140625" hidden="1" customWidth="1"/>
    <col min="9" max="10" width="5" hidden="1" customWidth="1"/>
    <col min="11" max="16382" width="9.140625" hidden="1"/>
    <col min="16383" max="16383" width="9.140625" hidden="1" customWidth="1"/>
    <col min="16384" max="16384" width="9.140625" hidden="1"/>
  </cols>
  <sheetData>
    <row r="1" spans="2:9" x14ac:dyDescent="0.25">
      <c r="B1" s="3"/>
      <c r="C1" s="3"/>
      <c r="D1" s="3"/>
      <c r="E1" s="3"/>
      <c r="F1" s="3"/>
      <c r="G1" s="3"/>
      <c r="H1" s="3"/>
      <c r="I1" s="3"/>
    </row>
    <row r="2" spans="2:9" x14ac:dyDescent="0.25">
      <c r="B2" s="3"/>
      <c r="C2" s="3"/>
      <c r="D2" s="3"/>
      <c r="E2" s="3"/>
      <c r="F2" s="3"/>
      <c r="G2" s="3"/>
      <c r="H2" s="3"/>
      <c r="I2" s="3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3"/>
      <c r="C4" s="3"/>
      <c r="D4" s="3"/>
      <c r="E4" s="3"/>
      <c r="F4" s="3"/>
      <c r="G4" s="3"/>
      <c r="H4" s="3"/>
      <c r="I4" s="3"/>
    </row>
    <row r="5" spans="2:9" x14ac:dyDescent="0.25">
      <c r="B5" s="3"/>
      <c r="C5" s="3"/>
      <c r="D5" s="3"/>
      <c r="E5" s="3"/>
      <c r="F5" s="3"/>
      <c r="G5" s="3"/>
      <c r="H5" s="3"/>
      <c r="I5" s="3"/>
    </row>
    <row r="6" spans="2:9" x14ac:dyDescent="0.25">
      <c r="B6" s="3"/>
      <c r="C6" s="3"/>
      <c r="D6" s="3"/>
      <c r="E6" s="3"/>
      <c r="F6" s="3"/>
      <c r="G6" s="3"/>
      <c r="H6" s="3"/>
      <c r="I6" s="3"/>
    </row>
    <row r="7" spans="2:9" x14ac:dyDescent="0.25">
      <c r="B7" s="3"/>
      <c r="C7" s="3"/>
      <c r="D7" s="3"/>
      <c r="E7" s="3"/>
      <c r="F7" s="3"/>
      <c r="G7" s="3"/>
      <c r="H7" s="3"/>
      <c r="I7" s="3"/>
    </row>
    <row r="8" spans="2:9" ht="15.75" thickBot="1" x14ac:dyDescent="0.3">
      <c r="B8" s="3"/>
      <c r="C8" s="3"/>
      <c r="D8" s="3"/>
      <c r="E8" s="3"/>
      <c r="F8" s="3"/>
      <c r="G8" s="3"/>
      <c r="H8" s="3"/>
      <c r="I8" s="3"/>
    </row>
    <row r="9" spans="2:9" ht="26.25" x14ac:dyDescent="0.25">
      <c r="B9" s="31" t="s">
        <v>16</v>
      </c>
      <c r="C9" s="51"/>
      <c r="D9" s="52"/>
      <c r="E9" s="3"/>
      <c r="F9" s="3"/>
      <c r="G9" s="3"/>
      <c r="H9" s="3"/>
      <c r="I9" s="3"/>
    </row>
    <row r="10" spans="2:9" ht="15.75" x14ac:dyDescent="0.25">
      <c r="B10" s="54" t="s">
        <v>14</v>
      </c>
      <c r="C10" s="55"/>
      <c r="D10" s="33">
        <v>2356</v>
      </c>
      <c r="E10" s="3"/>
      <c r="F10" s="3"/>
      <c r="G10" s="3"/>
      <c r="H10" s="3"/>
      <c r="I10" s="3"/>
    </row>
    <row r="11" spans="2:9" ht="15.75" x14ac:dyDescent="0.25">
      <c r="B11" s="56" t="s">
        <v>13</v>
      </c>
      <c r="C11" s="57"/>
      <c r="D11" s="34">
        <v>8.9999999999999993E-3</v>
      </c>
      <c r="E11" s="3"/>
      <c r="F11" s="3"/>
      <c r="G11" s="3"/>
      <c r="H11" s="3"/>
      <c r="I11" s="3"/>
    </row>
    <row r="12" spans="2:9" ht="16.5" thickBot="1" x14ac:dyDescent="0.3">
      <c r="B12" s="62" t="s">
        <v>15</v>
      </c>
      <c r="C12" s="63"/>
      <c r="D12" s="32">
        <f>D10*30%</f>
        <v>706.8</v>
      </c>
      <c r="E12" s="3"/>
      <c r="F12" s="3"/>
      <c r="G12" s="3"/>
      <c r="H12" s="3"/>
      <c r="I12" s="3"/>
    </row>
    <row r="13" spans="2:9" ht="15.75" thickBot="1" x14ac:dyDescent="0.3">
      <c r="B13" s="3"/>
      <c r="C13" s="3"/>
      <c r="D13" s="3"/>
      <c r="E13" s="3"/>
      <c r="F13" s="3"/>
      <c r="G13" s="3"/>
      <c r="H13" s="3"/>
    </row>
    <row r="14" spans="2:9" ht="41.25" customHeight="1" x14ac:dyDescent="0.25">
      <c r="B14" s="49" t="s">
        <v>5</v>
      </c>
      <c r="C14" s="50"/>
      <c r="D14" s="53"/>
      <c r="E14" s="3"/>
      <c r="F14" s="3"/>
      <c r="G14" s="3"/>
      <c r="H14" s="3"/>
    </row>
    <row r="15" spans="2:9" ht="17.25" x14ac:dyDescent="0.3">
      <c r="B15" s="54" t="s">
        <v>4</v>
      </c>
      <c r="C15" s="55"/>
      <c r="D15" s="35">
        <v>250</v>
      </c>
      <c r="E15" s="3"/>
      <c r="F15" s="3"/>
      <c r="G15" s="3"/>
      <c r="H15" s="3"/>
    </row>
    <row r="16" spans="2:9" ht="17.25" x14ac:dyDescent="0.3">
      <c r="B16" s="56" t="s">
        <v>3</v>
      </c>
      <c r="C16" s="57"/>
      <c r="D16" s="36">
        <v>2</v>
      </c>
      <c r="E16" s="3"/>
      <c r="F16" s="3"/>
      <c r="G16" s="3"/>
      <c r="H16" s="3"/>
    </row>
    <row r="17" spans="1:8" ht="17.25" x14ac:dyDescent="0.3">
      <c r="B17" s="56" t="s">
        <v>2</v>
      </c>
      <c r="C17" s="57"/>
      <c r="D17" s="37">
        <v>1.0789999999999999E-2</v>
      </c>
      <c r="E17" s="3"/>
      <c r="F17" s="3"/>
      <c r="G17" s="3"/>
      <c r="H17" s="3"/>
    </row>
    <row r="18" spans="1:8" ht="17.25" x14ac:dyDescent="0.3">
      <c r="B18" s="58" t="s">
        <v>1</v>
      </c>
      <c r="C18" s="59"/>
      <c r="D18" s="12">
        <f>FV(Taxa_Mensal,Qtd_Anos*12,Aporte*-1)</f>
        <v>6806.9068244113041</v>
      </c>
      <c r="E18" s="3"/>
      <c r="F18" s="3"/>
      <c r="G18" s="3"/>
      <c r="H18" s="3"/>
    </row>
    <row r="19" spans="1:8" ht="18" thickBot="1" x14ac:dyDescent="0.35">
      <c r="B19" s="60" t="s">
        <v>0</v>
      </c>
      <c r="C19" s="61"/>
      <c r="D19" s="13">
        <f>Patrimônio*Rendimento_Carteira</f>
        <v>61.262161419701734</v>
      </c>
      <c r="E19" s="3"/>
      <c r="F19" s="3"/>
      <c r="G19" s="3"/>
      <c r="H19" s="3"/>
    </row>
    <row r="20" spans="1:8" s="2" customFormat="1" ht="15.75" thickBot="1" x14ac:dyDescent="0.3">
      <c r="A20" s="3"/>
      <c r="B20" s="3"/>
      <c r="C20" s="3"/>
      <c r="D20" s="3"/>
      <c r="E20" s="3"/>
      <c r="F20" s="3"/>
      <c r="G20" s="3"/>
      <c r="H20" s="3"/>
    </row>
    <row r="21" spans="1:8" ht="26.25" x14ac:dyDescent="0.25">
      <c r="A21" s="4"/>
      <c r="B21" s="49" t="s">
        <v>11</v>
      </c>
      <c r="C21" s="50"/>
      <c r="D21" s="1" t="s">
        <v>12</v>
      </c>
      <c r="E21" s="3"/>
      <c r="F21" s="3"/>
      <c r="G21" s="3"/>
    </row>
    <row r="22" spans="1:8" ht="15.75" x14ac:dyDescent="0.25">
      <c r="A22" s="4">
        <v>2</v>
      </c>
      <c r="B22" s="14" t="s">
        <v>6</v>
      </c>
      <c r="C22" s="6">
        <f>FV($D$17,$A22*12,$D$15*-1)</f>
        <v>6806.9068244113041</v>
      </c>
      <c r="D22" s="7">
        <f>C22*Rendimento_Carteira</f>
        <v>61.262161419701734</v>
      </c>
      <c r="E22" s="3"/>
      <c r="F22" s="3"/>
      <c r="G22" s="3"/>
    </row>
    <row r="23" spans="1:8" ht="15.75" x14ac:dyDescent="0.25">
      <c r="A23" s="4">
        <v>5</v>
      </c>
      <c r="B23" s="15" t="s">
        <v>7</v>
      </c>
      <c r="C23" s="8">
        <f>FV($D$17,$A23*12,$D$15*-1)</f>
        <v>20944.22849962191</v>
      </c>
      <c r="D23" s="9">
        <f>C23*Rendimento_Carteira</f>
        <v>188.49805649659717</v>
      </c>
      <c r="E23" s="3"/>
      <c r="F23" s="3"/>
      <c r="G23" s="3"/>
    </row>
    <row r="24" spans="1:8" ht="15.75" x14ac:dyDescent="0.25">
      <c r="A24" s="4">
        <v>10</v>
      </c>
      <c r="B24" s="15" t="s">
        <v>8</v>
      </c>
      <c r="C24" s="8">
        <f>FV($D$17,$A24*12,$D$15*-1)</f>
        <v>60821.053132543049</v>
      </c>
      <c r="D24" s="9">
        <f>C24*Rendimento_Carteira</f>
        <v>547.3894781928874</v>
      </c>
      <c r="E24" s="3"/>
      <c r="F24" s="3"/>
      <c r="G24" s="3"/>
    </row>
    <row r="25" spans="1:8" ht="15.75" x14ac:dyDescent="0.25">
      <c r="A25" s="4">
        <v>20</v>
      </c>
      <c r="B25" s="15" t="s">
        <v>9</v>
      </c>
      <c r="C25" s="8">
        <f>FV($D$17,$A25*12,$D$15*-1)</f>
        <v>281299.60002427013</v>
      </c>
      <c r="D25" s="9">
        <f>C25*Rendimento_Carteira</f>
        <v>2531.6964002184309</v>
      </c>
      <c r="E25" s="3"/>
      <c r="F25" s="3"/>
      <c r="G25" s="3"/>
    </row>
    <row r="26" spans="1:8" ht="16.5" thickBot="1" x14ac:dyDescent="0.3">
      <c r="A26" s="4">
        <v>30</v>
      </c>
      <c r="B26" s="16" t="s">
        <v>10</v>
      </c>
      <c r="C26" s="10">
        <f>FV($D$17,$A26*12,$D$15*-1)</f>
        <v>1080542.4137511787</v>
      </c>
      <c r="D26" s="11">
        <f>C26*Rendimento_Carteira</f>
        <v>9724.8817237606072</v>
      </c>
      <c r="E26" s="3"/>
      <c r="F26" s="3"/>
      <c r="G26" s="3"/>
    </row>
    <row r="27" spans="1:8" s="3" customFormat="1" ht="15.75" thickBot="1" x14ac:dyDescent="0.3"/>
    <row r="28" spans="1:8" x14ac:dyDescent="0.25">
      <c r="B28" s="29" t="s">
        <v>21</v>
      </c>
      <c r="C28" s="38" t="s">
        <v>17</v>
      </c>
      <c r="D28" s="26"/>
      <c r="E28" s="3"/>
    </row>
    <row r="29" spans="1:8" ht="16.5" thickBot="1" x14ac:dyDescent="0.3">
      <c r="B29" s="30" t="s">
        <v>20</v>
      </c>
      <c r="C29" s="27">
        <f>Aporte</f>
        <v>250</v>
      </c>
      <c r="D29" s="28"/>
      <c r="E29" s="3"/>
    </row>
    <row r="30" spans="1:8" ht="15.75" thickBot="1" x14ac:dyDescent="0.3">
      <c r="B30" s="48"/>
      <c r="C30" s="48"/>
      <c r="D30" s="48"/>
      <c r="E30" s="3"/>
    </row>
    <row r="31" spans="1:8" ht="15.75" x14ac:dyDescent="0.25">
      <c r="B31" s="39" t="s">
        <v>22</v>
      </c>
      <c r="C31" s="40" t="s">
        <v>23</v>
      </c>
      <c r="D31" s="41" t="s">
        <v>24</v>
      </c>
      <c r="E31" s="3"/>
    </row>
    <row r="32" spans="1:8" x14ac:dyDescent="0.25">
      <c r="B32" s="46" t="s">
        <v>25</v>
      </c>
      <c r="C32" s="47">
        <f>VLOOKUP($C$28&amp;"-"&amp;B32,Planilha1!$A:$D,4,FALSE)</f>
        <v>0.3</v>
      </c>
      <c r="D32" s="42">
        <f>C32*$C$29</f>
        <v>75</v>
      </c>
      <c r="E32" s="3"/>
    </row>
    <row r="33" spans="2:5" x14ac:dyDescent="0.25">
      <c r="B33" s="46" t="s">
        <v>26</v>
      </c>
      <c r="C33" s="47">
        <f>VLOOKUP($C$28&amp;"-"&amp;B33,Planilha1!$A:$D,4,FALSE)</f>
        <v>0.5</v>
      </c>
      <c r="D33" s="42">
        <f t="shared" ref="D33:D37" si="0">C33*$C$29</f>
        <v>125</v>
      </c>
      <c r="E33" s="3"/>
    </row>
    <row r="34" spans="2:5" x14ac:dyDescent="0.25">
      <c r="B34" s="46" t="s">
        <v>30</v>
      </c>
      <c r="C34" s="47">
        <f>VLOOKUP($C$28&amp;"-"&amp;B34,Planilha1!$A:$D,4,FALSE)</f>
        <v>0.1</v>
      </c>
      <c r="D34" s="42">
        <f t="shared" si="0"/>
        <v>25</v>
      </c>
      <c r="E34" s="3"/>
    </row>
    <row r="35" spans="2:5" x14ac:dyDescent="0.25">
      <c r="B35" s="46" t="s">
        <v>28</v>
      </c>
      <c r="C35" s="47">
        <f>VLOOKUP($C$28&amp;"-"&amp;B35,Planilha1!$A:$D,4,FALSE)</f>
        <v>0.1</v>
      </c>
      <c r="D35" s="42">
        <f t="shared" si="0"/>
        <v>25</v>
      </c>
      <c r="E35" s="3"/>
    </row>
    <row r="36" spans="2:5" x14ac:dyDescent="0.25">
      <c r="B36" s="46" t="s">
        <v>27</v>
      </c>
      <c r="C36" s="47">
        <f>VLOOKUP($C$28&amp;"-"&amp;B36,Planilha1!$A:$D,4,FALSE)</f>
        <v>0</v>
      </c>
      <c r="D36" s="42">
        <f t="shared" si="0"/>
        <v>0</v>
      </c>
      <c r="E36" s="3"/>
    </row>
    <row r="37" spans="2:5" x14ac:dyDescent="0.25">
      <c r="B37" s="46" t="s">
        <v>29</v>
      </c>
      <c r="C37" s="47">
        <f>VLOOKUP($C$28&amp;"-"&amp;B37,Planilha1!$A:$D,4,FALSE)</f>
        <v>0</v>
      </c>
      <c r="D37" s="42">
        <f t="shared" si="0"/>
        <v>0</v>
      </c>
      <c r="E37" s="3"/>
    </row>
    <row r="38" spans="2:5" ht="15.75" thickBot="1" x14ac:dyDescent="0.3">
      <c r="B38" s="43"/>
      <c r="C38" s="44"/>
      <c r="D38" s="45">
        <f>SUM(D32:D37)</f>
        <v>250</v>
      </c>
      <c r="E38" s="3"/>
    </row>
    <row r="39" spans="2:5" x14ac:dyDescent="0.25">
      <c r="B39" s="3"/>
      <c r="C39" s="3"/>
      <c r="D39" s="3"/>
      <c r="E39" s="3"/>
    </row>
    <row r="40" spans="2:5" x14ac:dyDescent="0.25">
      <c r="B40" s="3"/>
      <c r="C40" s="3"/>
      <c r="D40" s="3"/>
      <c r="E40" s="3"/>
    </row>
    <row r="41" spans="2:5" x14ac:dyDescent="0.25">
      <c r="B41" s="3"/>
      <c r="C41" s="3"/>
      <c r="D41" s="3"/>
      <c r="E41" s="3"/>
    </row>
    <row r="42" spans="2:5" x14ac:dyDescent="0.25">
      <c r="B42" s="3"/>
      <c r="C42" s="3"/>
      <c r="D42" s="3"/>
      <c r="E42" s="3"/>
    </row>
    <row r="43" spans="2:5" x14ac:dyDescent="0.25">
      <c r="B43" s="3"/>
      <c r="C43" s="3"/>
      <c r="D43" s="3"/>
      <c r="E43" s="3"/>
    </row>
    <row r="44" spans="2:5" x14ac:dyDescent="0.25">
      <c r="B44" s="3"/>
      <c r="C44" s="3"/>
      <c r="D44" s="3"/>
      <c r="E44" s="3"/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x14ac:dyDescent="0.25">
      <c r="B47" s="3"/>
      <c r="C47" s="3"/>
      <c r="D47" s="3"/>
      <c r="E47" s="3"/>
    </row>
    <row r="48" spans="2:5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hidden="1" x14ac:dyDescent="0.25">
      <c r="B60" s="3"/>
      <c r="C60" s="3"/>
      <c r="D60" s="3"/>
      <c r="E60" s="3"/>
    </row>
    <row r="61" spans="2:5" hidden="1" x14ac:dyDescent="0.25">
      <c r="B61" s="3"/>
      <c r="C61" s="3"/>
      <c r="D61" s="3"/>
      <c r="E61" s="3"/>
    </row>
    <row r="62" spans="2:5" hidden="1" x14ac:dyDescent="0.25">
      <c r="B62" s="3"/>
      <c r="C62" s="3"/>
      <c r="D62" s="3"/>
      <c r="E62" s="3"/>
    </row>
    <row r="63" spans="2:5" hidden="1" x14ac:dyDescent="0.25">
      <c r="B63" s="3"/>
      <c r="C63" s="3"/>
      <c r="D63" s="3"/>
      <c r="E63" s="3"/>
    </row>
    <row r="64" spans="2:5" hidden="1" x14ac:dyDescent="0.25">
      <c r="B64" s="3"/>
      <c r="C64" s="3"/>
      <c r="D64" s="3"/>
      <c r="E64" s="3"/>
    </row>
    <row r="65" spans="2:5" hidden="1" x14ac:dyDescent="0.25">
      <c r="B65" s="3"/>
      <c r="C65" s="3"/>
      <c r="D65" s="3"/>
      <c r="E65" s="3"/>
    </row>
    <row r="66" spans="2:5" hidden="1" x14ac:dyDescent="0.25">
      <c r="B66" s="3"/>
      <c r="C66" s="3"/>
      <c r="D66" s="3"/>
      <c r="E66" s="3"/>
    </row>
    <row r="67" spans="2:5" hidden="1" x14ac:dyDescent="0.25">
      <c r="B67" s="3"/>
      <c r="C67" s="3"/>
      <c r="D67" s="3"/>
      <c r="E67" s="3"/>
    </row>
    <row r="68" spans="2:5" hidden="1" x14ac:dyDescent="0.25">
      <c r="B68" s="3"/>
      <c r="C68" s="3"/>
      <c r="D68" s="3"/>
      <c r="E68" s="3"/>
    </row>
    <row r="69" spans="2:5" hidden="1" x14ac:dyDescent="0.25">
      <c r="B69" s="3"/>
      <c r="C69" s="3"/>
      <c r="D69" s="3"/>
      <c r="E69" s="3"/>
    </row>
    <row r="70" spans="2:5" hidden="1" x14ac:dyDescent="0.25">
      <c r="B70" s="3"/>
      <c r="C70" s="3"/>
      <c r="D70" s="3"/>
      <c r="E70" s="3"/>
    </row>
    <row r="71" spans="2:5" hidden="1" x14ac:dyDescent="0.25">
      <c r="B71" s="3"/>
      <c r="C71" s="3"/>
      <c r="D71" s="3"/>
      <c r="E71" s="3"/>
    </row>
  </sheetData>
  <mergeCells count="11">
    <mergeCell ref="B21:C21"/>
    <mergeCell ref="C9:D9"/>
    <mergeCell ref="B14:D14"/>
    <mergeCell ref="B15:C15"/>
    <mergeCell ref="B16:C16"/>
    <mergeCell ref="B17:C17"/>
    <mergeCell ref="B18:C18"/>
    <mergeCell ref="B19:C19"/>
    <mergeCell ref="B12:C12"/>
    <mergeCell ref="B11:C11"/>
    <mergeCell ref="B10:C10"/>
  </mergeCells>
  <dataValidations count="1">
    <dataValidation type="list" allowBlank="1" showInputMessage="1" showErrorMessage="1" sqref="C28" xr:uid="{8DB637A5-1D21-443D-96DD-2C71E21F0A4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2B28-A84B-4C7C-A92F-8DB973EFA2EF}">
  <dimension ref="A2:H20"/>
  <sheetViews>
    <sheetView topLeftCell="A4" workbookViewId="0">
      <selection activeCell="F9" sqref="F9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t="s">
        <v>33</v>
      </c>
      <c r="B2" t="s">
        <v>21</v>
      </c>
      <c r="C2" s="5" t="s">
        <v>31</v>
      </c>
      <c r="D2" s="5" t="s">
        <v>32</v>
      </c>
    </row>
    <row r="3" spans="1:8" x14ac:dyDescent="0.25">
      <c r="A3" t="str">
        <f>B3&amp;"-"&amp;C3</f>
        <v>Conservador-PAPEL</v>
      </c>
      <c r="B3" t="s">
        <v>17</v>
      </c>
      <c r="C3" s="5" t="s">
        <v>25</v>
      </c>
      <c r="D3" s="18">
        <v>0.3</v>
      </c>
      <c r="H3" s="5" t="s">
        <v>32</v>
      </c>
    </row>
    <row r="4" spans="1:8" x14ac:dyDescent="0.25">
      <c r="A4" t="str">
        <f t="shared" ref="A4:A20" si="0">B4&amp;"-"&amp;C4</f>
        <v>Conservador-TIJOLO</v>
      </c>
      <c r="B4" t="s">
        <v>17</v>
      </c>
      <c r="C4" s="5" t="s">
        <v>26</v>
      </c>
      <c r="D4" s="18">
        <v>0.5</v>
      </c>
      <c r="G4" s="17" t="s">
        <v>34</v>
      </c>
      <c r="H4" s="25">
        <f>VLOOKUP(G4,$A:$D,4,FALSE)</f>
        <v>0.35</v>
      </c>
    </row>
    <row r="5" spans="1:8" x14ac:dyDescent="0.25">
      <c r="A5" t="str">
        <f t="shared" si="0"/>
        <v>Conservador-HÍBRIDOS</v>
      </c>
      <c r="B5" t="s">
        <v>17</v>
      </c>
      <c r="C5" s="5" t="s">
        <v>30</v>
      </c>
      <c r="D5" s="18">
        <v>0.1</v>
      </c>
    </row>
    <row r="6" spans="1:8" x14ac:dyDescent="0.25">
      <c r="A6" t="str">
        <f t="shared" si="0"/>
        <v>Conservador-FOFs</v>
      </c>
      <c r="B6" t="s">
        <v>17</v>
      </c>
      <c r="C6" s="5" t="s">
        <v>28</v>
      </c>
      <c r="D6" s="18">
        <v>0.1</v>
      </c>
    </row>
    <row r="7" spans="1:8" x14ac:dyDescent="0.25">
      <c r="A7" t="str">
        <f t="shared" si="0"/>
        <v>Conservador-DESENVOLVIMENTO</v>
      </c>
      <c r="B7" t="s">
        <v>17</v>
      </c>
      <c r="C7" s="5" t="s">
        <v>27</v>
      </c>
      <c r="D7" s="18">
        <v>0</v>
      </c>
    </row>
    <row r="8" spans="1:8" ht="15.75" thickBot="1" x14ac:dyDescent="0.3">
      <c r="A8" t="str">
        <f t="shared" si="0"/>
        <v>Conservador-HOTELARIAS</v>
      </c>
      <c r="B8" t="s">
        <v>17</v>
      </c>
      <c r="C8" s="5" t="s">
        <v>29</v>
      </c>
      <c r="D8" s="18">
        <v>0</v>
      </c>
    </row>
    <row r="9" spans="1:8" x14ac:dyDescent="0.25">
      <c r="A9" s="19" t="str">
        <f t="shared" si="0"/>
        <v>Moderado-PAPEL</v>
      </c>
      <c r="B9" s="19" t="s">
        <v>18</v>
      </c>
      <c r="C9" s="20" t="s">
        <v>25</v>
      </c>
      <c r="D9" s="21">
        <v>0.32</v>
      </c>
    </row>
    <row r="10" spans="1:8" x14ac:dyDescent="0.25">
      <c r="A10" t="str">
        <f t="shared" si="0"/>
        <v>Moderado-TIJOLO</v>
      </c>
      <c r="B10" t="s">
        <v>18</v>
      </c>
      <c r="C10" s="5" t="s">
        <v>26</v>
      </c>
      <c r="D10" s="18">
        <v>0.35</v>
      </c>
    </row>
    <row r="11" spans="1:8" x14ac:dyDescent="0.25">
      <c r="A11" t="str">
        <f t="shared" si="0"/>
        <v>Moderado-HÍBRIDOS</v>
      </c>
      <c r="B11" t="s">
        <v>18</v>
      </c>
      <c r="C11" s="5" t="s">
        <v>30</v>
      </c>
      <c r="D11" s="18">
        <v>0.08</v>
      </c>
    </row>
    <row r="12" spans="1:8" x14ac:dyDescent="0.25">
      <c r="A12" t="str">
        <f t="shared" si="0"/>
        <v>Moderado-FOFs</v>
      </c>
      <c r="B12" t="s">
        <v>18</v>
      </c>
      <c r="C12" s="5" t="s">
        <v>28</v>
      </c>
      <c r="D12" s="18">
        <v>0.05</v>
      </c>
    </row>
    <row r="13" spans="1:8" x14ac:dyDescent="0.25">
      <c r="A13" t="str">
        <f t="shared" si="0"/>
        <v>Moderado-DESENVOLVIMENTO</v>
      </c>
      <c r="B13" t="s">
        <v>18</v>
      </c>
      <c r="C13" s="5" t="s">
        <v>27</v>
      </c>
      <c r="D13" s="18">
        <v>0.1</v>
      </c>
    </row>
    <row r="14" spans="1:8" ht="15.75" thickBot="1" x14ac:dyDescent="0.3">
      <c r="A14" s="22" t="str">
        <f t="shared" si="0"/>
        <v>Moderado-HOTELARIAS</v>
      </c>
      <c r="B14" s="22" t="s">
        <v>18</v>
      </c>
      <c r="C14" s="23" t="s">
        <v>29</v>
      </c>
      <c r="D14" s="24">
        <v>0.1</v>
      </c>
    </row>
    <row r="15" spans="1:8" x14ac:dyDescent="0.25">
      <c r="A15" t="str">
        <f t="shared" si="0"/>
        <v>Agressivo-PAPEL</v>
      </c>
      <c r="B15" t="s">
        <v>19</v>
      </c>
      <c r="C15" s="5" t="s">
        <v>25</v>
      </c>
      <c r="D15" s="18">
        <v>0.5</v>
      </c>
    </row>
    <row r="16" spans="1:8" x14ac:dyDescent="0.25">
      <c r="A16" t="str">
        <f t="shared" si="0"/>
        <v>Agressivo-TIJOLO</v>
      </c>
      <c r="B16" t="s">
        <v>19</v>
      </c>
      <c r="C16" s="5" t="s">
        <v>26</v>
      </c>
      <c r="D16" s="18">
        <v>0.1</v>
      </c>
    </row>
    <row r="17" spans="1:4" x14ac:dyDescent="0.25">
      <c r="A17" t="str">
        <f t="shared" si="0"/>
        <v>Agressivo-HÍBRIDOS</v>
      </c>
      <c r="B17" t="s">
        <v>19</v>
      </c>
      <c r="C17" s="5" t="s">
        <v>30</v>
      </c>
      <c r="D17" s="18">
        <v>0.05</v>
      </c>
    </row>
    <row r="18" spans="1:4" x14ac:dyDescent="0.25">
      <c r="A18" t="str">
        <f t="shared" si="0"/>
        <v>Agressivo-FOFs</v>
      </c>
      <c r="B18" t="s">
        <v>19</v>
      </c>
      <c r="C18" s="5" t="s">
        <v>28</v>
      </c>
      <c r="D18" s="18">
        <v>0.05</v>
      </c>
    </row>
    <row r="19" spans="1:4" x14ac:dyDescent="0.25">
      <c r="A19" t="str">
        <f t="shared" si="0"/>
        <v>Agressivo-DESENVOLVIMENTO</v>
      </c>
      <c r="B19" t="s">
        <v>19</v>
      </c>
      <c r="C19" s="5" t="s">
        <v>27</v>
      </c>
      <c r="D19" s="18">
        <v>0.2</v>
      </c>
    </row>
    <row r="20" spans="1:4" x14ac:dyDescent="0.25">
      <c r="A20" t="str">
        <f t="shared" si="0"/>
        <v>Agressivo-HOTELARIAS</v>
      </c>
      <c r="B20" t="s">
        <v>19</v>
      </c>
      <c r="C20" s="5" t="s">
        <v>29</v>
      </c>
      <c r="D20" s="1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Investment</vt:lpstr>
      <vt:lpstr>Planilha1</vt:lpstr>
      <vt:lpstr>Aporte</vt:lpstr>
      <vt:lpstr>Dividendos</vt:lpstr>
      <vt:lpstr>Patrimônio</vt:lpstr>
      <vt:lpstr>Qtd_Anos</vt:lpstr>
      <vt:lpstr>Rendimento_Carteira</vt:lpstr>
      <vt:lpstr>Salario</vt:lpstr>
      <vt:lpstr>Sugestão_Investimento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Coelho</dc:creator>
  <cp:lastModifiedBy>Flávio Coelho</cp:lastModifiedBy>
  <dcterms:created xsi:type="dcterms:W3CDTF">2026-01-28T15:44:49Z</dcterms:created>
  <dcterms:modified xsi:type="dcterms:W3CDTF">2026-01-30T14:33:50Z</dcterms:modified>
</cp:coreProperties>
</file>